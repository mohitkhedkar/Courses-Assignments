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tevesstuff\Job_Stuff\Skill-UpTechnologies\IBM\DataAnalystCurriculumDesign\Course 2 - Analyzing &amp; Visualizing Data Using Spreadsheets\Labs\"/>
    </mc:Choice>
  </mc:AlternateContent>
  <xr:revisionPtr revIDLastSave="0" documentId="8_{B2E6FC41-BB44-419B-9DAD-6B1F0FE7BB30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Montgomery_Fleet_Equipment_Inve" sheetId="1" r:id="rId1"/>
    <sheet name="Pivot Table 1" sheetId="2" r:id="rId2"/>
    <sheet name="Pivot Table 2" sheetId="3" r:id="rId3"/>
    <sheet name="Pivot Table 3" sheetId="4" r:id="rId4"/>
  </sheets>
  <definedNames>
    <definedName name="_xlnm._FilterDatabase" localSheetId="0" hidden="1">Montgomery_Fleet_Equipment_Inve!$A$1:$C$50</definedName>
  </definedNames>
  <calcPr calcId="191028"/>
  <pivotCaches>
    <pivotCache cacheId="98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8" i="1" l="1"/>
  <c r="F47" i="1"/>
  <c r="F46" i="1"/>
  <c r="F45" i="1"/>
  <c r="F44" i="1"/>
</calcChain>
</file>

<file path=xl/sharedStrings.xml><?xml version="1.0" encoding="utf-8"?>
<sst xmlns="http://schemas.openxmlformats.org/spreadsheetml/2006/main" count="169" uniqueCount="38">
  <si>
    <t>Department</t>
  </si>
  <si>
    <t>Equipment Class</t>
  </si>
  <si>
    <t>Equipment Count</t>
  </si>
  <si>
    <t>Housing and Community Affairs</t>
  </si>
  <si>
    <t>Pick Up Trucks</t>
  </si>
  <si>
    <t>SUV</t>
  </si>
  <si>
    <t>Sedan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</si>
  <si>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</si>
  <si>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</si>
  <si>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</si>
  <si>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</si>
  <si>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</si>
  <si>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</si>
  <si>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</si>
  <si>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</si>
  <si>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</si>
  <si>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</si>
  <si>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</si>
  <si>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Off Road Vehicle Equipment</t>
  </si>
  <si>
    <t>Sheriffs Office</t>
  </si>
  <si>
    <t>Public Safety SUV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</si>
  <si>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</si>
  <si>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</si>
  <si>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</si>
  <si>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</si>
  <si>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</si>
  <si>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</si>
  <si>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</si>
  <si>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</si>
  <si>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SUM</t>
  </si>
  <si>
    <t>AVERAGE</t>
  </si>
  <si>
    <t>MIN</t>
  </si>
  <si>
    <t>MAX</t>
  </si>
  <si>
    <t>COUNT</t>
  </si>
  <si>
    <t>Sum of Equipment Count</t>
  </si>
  <si>
    <t>Grand Total</t>
  </si>
  <si>
    <t>Transportation Total</t>
  </si>
  <si>
    <t>CUV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</si>
</sst>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17.191205208335" createdVersion="8" refreshedVersion="8" minRefreshableVersion="3" recordCount="49" xr:uid="{F8394CA6-B6A7-4223-ABC9-BF55B8E3FE81}">
  <cacheSource type="worksheet">
    <worksheetSource name="Table1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 count="27">
        <n v="21"/>
        <n v="1"/>
        <n v="23"/>
        <n v="2"/>
        <n v="3"/>
        <n v="42"/>
        <n v="11"/>
        <n v="9"/>
        <n v="27"/>
        <n v="24"/>
        <n v="48"/>
        <n v="6"/>
        <n v="5"/>
        <n v="15"/>
        <n v="7"/>
        <n v="20"/>
        <n v="8"/>
        <n v="4"/>
        <n v="46"/>
        <n v="93"/>
        <n v="248"/>
        <n v="379"/>
        <n v="53"/>
        <n v="32"/>
        <n v="98"/>
        <n v="276"/>
        <n v="37"/>
      </sharedItems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x v="0"/>
  </r>
  <r>
    <x v="0"/>
    <x v="1"/>
    <x v="1"/>
  </r>
  <r>
    <x v="0"/>
    <x v="2"/>
    <x v="2"/>
  </r>
  <r>
    <x v="1"/>
    <x v="2"/>
    <x v="3"/>
  </r>
  <r>
    <x v="2"/>
    <x v="0"/>
    <x v="4"/>
  </r>
  <r>
    <x v="2"/>
    <x v="3"/>
    <x v="3"/>
  </r>
  <r>
    <x v="2"/>
    <x v="4"/>
    <x v="1"/>
  </r>
  <r>
    <x v="3"/>
    <x v="3"/>
    <x v="3"/>
  </r>
  <r>
    <x v="3"/>
    <x v="5"/>
    <x v="5"/>
  </r>
  <r>
    <x v="3"/>
    <x v="1"/>
    <x v="1"/>
  </r>
  <r>
    <x v="3"/>
    <x v="2"/>
    <x v="6"/>
  </r>
  <r>
    <x v="4"/>
    <x v="1"/>
    <x v="1"/>
  </r>
  <r>
    <x v="5"/>
    <x v="6"/>
    <x v="7"/>
  </r>
  <r>
    <x v="5"/>
    <x v="1"/>
    <x v="8"/>
  </r>
  <r>
    <x v="5"/>
    <x v="0"/>
    <x v="9"/>
  </r>
  <r>
    <x v="5"/>
    <x v="3"/>
    <x v="1"/>
  </r>
  <r>
    <x v="5"/>
    <x v="2"/>
    <x v="10"/>
  </r>
  <r>
    <x v="6"/>
    <x v="3"/>
    <x v="1"/>
  </r>
  <r>
    <x v="7"/>
    <x v="2"/>
    <x v="11"/>
  </r>
  <r>
    <x v="7"/>
    <x v="0"/>
    <x v="12"/>
  </r>
  <r>
    <x v="7"/>
    <x v="1"/>
    <x v="3"/>
  </r>
  <r>
    <x v="7"/>
    <x v="3"/>
    <x v="13"/>
  </r>
  <r>
    <x v="7"/>
    <x v="7"/>
    <x v="14"/>
  </r>
  <r>
    <x v="8"/>
    <x v="8"/>
    <x v="15"/>
  </r>
  <r>
    <x v="8"/>
    <x v="2"/>
    <x v="1"/>
  </r>
  <r>
    <x v="8"/>
    <x v="4"/>
    <x v="1"/>
  </r>
  <r>
    <x v="8"/>
    <x v="0"/>
    <x v="4"/>
  </r>
  <r>
    <x v="8"/>
    <x v="1"/>
    <x v="1"/>
  </r>
  <r>
    <x v="8"/>
    <x v="9"/>
    <x v="16"/>
  </r>
  <r>
    <x v="8"/>
    <x v="10"/>
    <x v="17"/>
  </r>
  <r>
    <x v="8"/>
    <x v="11"/>
    <x v="18"/>
  </r>
  <r>
    <x v="8"/>
    <x v="12"/>
    <x v="1"/>
  </r>
  <r>
    <x v="9"/>
    <x v="11"/>
    <x v="1"/>
  </r>
  <r>
    <x v="9"/>
    <x v="3"/>
    <x v="1"/>
  </r>
  <r>
    <x v="9"/>
    <x v="1"/>
    <x v="1"/>
  </r>
  <r>
    <x v="9"/>
    <x v="2"/>
    <x v="3"/>
  </r>
  <r>
    <x v="10"/>
    <x v="0"/>
    <x v="1"/>
  </r>
  <r>
    <x v="10"/>
    <x v="6"/>
    <x v="1"/>
  </r>
  <r>
    <x v="10"/>
    <x v="3"/>
    <x v="6"/>
  </r>
  <r>
    <x v="10"/>
    <x v="1"/>
    <x v="4"/>
  </r>
  <r>
    <x v="11"/>
    <x v="0"/>
    <x v="19"/>
  </r>
  <r>
    <x v="11"/>
    <x v="5"/>
    <x v="20"/>
  </r>
  <r>
    <x v="11"/>
    <x v="13"/>
    <x v="21"/>
  </r>
  <r>
    <x v="11"/>
    <x v="1"/>
    <x v="22"/>
  </r>
  <r>
    <x v="11"/>
    <x v="3"/>
    <x v="23"/>
  </r>
  <r>
    <x v="11"/>
    <x v="4"/>
    <x v="24"/>
  </r>
  <r>
    <x v="11"/>
    <x v="7"/>
    <x v="25"/>
  </r>
  <r>
    <x v="11"/>
    <x v="6"/>
    <x v="12"/>
  </r>
  <r>
    <x v="11"/>
    <x v="2"/>
    <x v="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C29BB3-BC80-4F74-9078-9EE78B423E0C}" name="PivotTable1" cacheId="9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AC17" firstHeaderRow="1" firstDataRow="2" firstDataCol="1"/>
  <pivotFields count="3"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/>
    <pivotField axis="axisCol" dataField="1" compact="0" outline="0" showAll="0">
      <items count="28">
        <item x="1"/>
        <item x="3"/>
        <item x="4"/>
        <item x="17"/>
        <item x="12"/>
        <item x="11"/>
        <item x="14"/>
        <item x="16"/>
        <item x="7"/>
        <item x="6"/>
        <item x="13"/>
        <item x="15"/>
        <item x="0"/>
        <item x="2"/>
        <item x="9"/>
        <item x="8"/>
        <item x="23"/>
        <item x="26"/>
        <item x="5"/>
        <item x="18"/>
        <item x="10"/>
        <item x="22"/>
        <item x="19"/>
        <item x="24"/>
        <item x="20"/>
        <item x="25"/>
        <item x="21"/>
        <item t="default"/>
      </items>
    </pivotField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2"/>
  </colFields>
  <col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E00AA7-4DFC-450E-B438-D9FA2D49CB37}" name="PivotTable2" cacheId="9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25" firstHeaderRow="1" firstDataRow="1" firstDataCol="2"/>
  <pivotFields count="3">
    <pivotField axis="axisRow" compact="0" outline="0" showAll="0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t="default"/>
      </items>
    </pivotField>
    <pivotField axis="axisRow" compact="0" outline="0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compact="0" outline="0" showAll="0">
      <items count="28">
        <item x="1"/>
        <item x="3"/>
        <item x="4"/>
        <item x="17"/>
        <item x="12"/>
        <item x="11"/>
        <item x="14"/>
        <item x="16"/>
        <item x="7"/>
        <item x="6"/>
        <item x="13"/>
        <item x="15"/>
        <item x="0"/>
        <item x="2"/>
        <item x="9"/>
        <item x="8"/>
        <item x="23"/>
        <item x="26"/>
        <item x="5"/>
        <item x="18"/>
        <item x="10"/>
        <item x="22"/>
        <item x="19"/>
        <item x="24"/>
        <item x="20"/>
        <item x="25"/>
        <item x="21"/>
        <item t="default"/>
      </items>
    </pivotField>
  </pivotFields>
  <rowFields count="2">
    <field x="0"/>
    <field x="1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 t="default">
      <x v="1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5F0C32-B756-4F5C-A28E-F6CAD719B5A5}" name="PivotTable3" cacheId="9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21" firstHeaderRow="1" firstDataRow="1" firstDataCol="2"/>
  <pivotFields count="3"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compact="0" outline="0" showAll="0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/>
      </items>
    </pivotField>
    <pivotField compact="0" outline="0" showAll="0"/>
  </pivotFields>
  <rowFields count="2">
    <field x="1"/>
    <field x="0"/>
  </rowFields>
  <rowItems count="18">
    <i>
      <x/>
      <x v="5"/>
    </i>
    <i r="1">
      <x v="10"/>
    </i>
    <i r="1">
      <x v="11"/>
    </i>
    <i t="default"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C8A6EB-4F21-4583-83D1-5D894F5EDFE6}" name="Table1" displayName="Table1" ref="A1:C51" totalsRowCount="1">
  <autoFilter ref="A1:C50" xr:uid="{A6C8A6EB-4F21-4583-83D1-5D894F5EDFE6}"/>
  <tableColumns count="3">
    <tableColumn id="1" xr3:uid="{BAD6094C-8BB9-4A6A-B751-031F5BDED650}" name="Department"/>
    <tableColumn id="2" xr3:uid="{391D126A-E92D-4865-BF3C-3F6FEFEBD2BD}" name="Equipment Class"/>
    <tableColumn id="3" xr3:uid="{E220502F-04D6-4225-BD9A-25A529487787}" name="Equipment 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workbookViewId="0">
      <selection activeCell="A33" sqref="A33"/>
    </sheetView>
  </sheetViews>
  <sheetFormatPr defaultRowHeight="15"/>
  <cols>
    <col min="1" max="1" width="29.42578125" bestFit="1" customWidth="1"/>
    <col min="2" max="2" width="26.28515625" bestFit="1" customWidth="1"/>
    <col min="3" max="3" width="19.140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21</v>
      </c>
    </row>
    <row r="3" spans="1:3">
      <c r="A3" t="s">
        <v>3</v>
      </c>
      <c r="B3" t="s">
        <v>5</v>
      </c>
      <c r="C3">
        <v>1</v>
      </c>
    </row>
    <row r="4" spans="1:3">
      <c r="A4" t="s">
        <v>3</v>
      </c>
      <c r="B4" t="s">
        <v>6</v>
      </c>
      <c r="C4">
        <v>23</v>
      </c>
    </row>
    <row r="5" spans="1:3">
      <c r="A5" t="s">
        <v>7</v>
      </c>
      <c r="B5" t="s">
        <v>6</v>
      </c>
      <c r="C5">
        <v>2</v>
      </c>
    </row>
    <row r="6" spans="1:3">
      <c r="A6" t="s">
        <v>8</v>
      </c>
      <c r="B6" t="s">
        <v>4</v>
      </c>
      <c r="C6">
        <v>3</v>
      </c>
    </row>
    <row r="7" spans="1:3">
      <c r="A7" t="s">
        <v>8</v>
      </c>
      <c r="B7" t="s">
        <v>9</v>
      </c>
      <c r="C7">
        <v>2</v>
      </c>
    </row>
    <row r="8" spans="1:3">
      <c r="A8" t="s">
        <v>8</v>
      </c>
      <c r="B8" t="s">
        <v>10</v>
      </c>
      <c r="C8">
        <v>1</v>
      </c>
    </row>
    <row r="9" spans="1:3">
      <c r="A9" t="s">
        <v>11</v>
      </c>
      <c r="B9" t="s">
        <v>9</v>
      </c>
      <c r="C9">
        <v>2</v>
      </c>
    </row>
    <row r="10" spans="1:3">
      <c r="A10" t="s">
        <v>11</v>
      </c>
      <c r="B10" t="s">
        <v>12</v>
      </c>
      <c r="C10">
        <v>42</v>
      </c>
    </row>
    <row r="11" spans="1:3">
      <c r="A11" t="s">
        <v>11</v>
      </c>
      <c r="B11" t="s">
        <v>5</v>
      </c>
      <c r="C11">
        <v>1</v>
      </c>
    </row>
    <row r="12" spans="1:3">
      <c r="A12" t="s">
        <v>11</v>
      </c>
      <c r="B12" t="s">
        <v>6</v>
      </c>
      <c r="C12">
        <v>11</v>
      </c>
    </row>
    <row r="13" spans="1:3">
      <c r="A13" t="s">
        <v>13</v>
      </c>
      <c r="B13" t="s">
        <v>5</v>
      </c>
      <c r="C13">
        <v>1</v>
      </c>
    </row>
    <row r="14" spans="1:3">
      <c r="A14" t="s">
        <v>14</v>
      </c>
      <c r="B14" t="s">
        <v>15</v>
      </c>
      <c r="C14">
        <v>9</v>
      </c>
    </row>
    <row r="15" spans="1:3">
      <c r="A15" t="s">
        <v>14</v>
      </c>
      <c r="B15" t="s">
        <v>5</v>
      </c>
      <c r="C15">
        <v>27</v>
      </c>
    </row>
    <row r="16" spans="1:3">
      <c r="A16" t="s">
        <v>14</v>
      </c>
      <c r="B16" t="s">
        <v>4</v>
      </c>
      <c r="C16">
        <v>24</v>
      </c>
    </row>
    <row r="17" spans="1:3">
      <c r="A17" t="s">
        <v>14</v>
      </c>
      <c r="B17" t="s">
        <v>9</v>
      </c>
      <c r="C17">
        <v>1</v>
      </c>
    </row>
    <row r="18" spans="1:3">
      <c r="A18" t="s">
        <v>14</v>
      </c>
      <c r="B18" t="s">
        <v>6</v>
      </c>
      <c r="C18">
        <v>48</v>
      </c>
    </row>
    <row r="19" spans="1:3">
      <c r="A19" t="s">
        <v>16</v>
      </c>
      <c r="B19" t="s">
        <v>9</v>
      </c>
      <c r="C19">
        <v>1</v>
      </c>
    </row>
    <row r="20" spans="1:3">
      <c r="A20" t="s">
        <v>17</v>
      </c>
      <c r="B20" t="s">
        <v>6</v>
      </c>
      <c r="C20">
        <v>6</v>
      </c>
    </row>
    <row r="21" spans="1:3">
      <c r="A21" t="s">
        <v>17</v>
      </c>
      <c r="B21" t="s">
        <v>4</v>
      </c>
      <c r="C21">
        <v>5</v>
      </c>
    </row>
    <row r="22" spans="1:3">
      <c r="A22" t="s">
        <v>17</v>
      </c>
      <c r="B22" t="s">
        <v>5</v>
      </c>
      <c r="C22">
        <v>2</v>
      </c>
    </row>
    <row r="23" spans="1:3">
      <c r="A23" t="s">
        <v>17</v>
      </c>
      <c r="B23" t="s">
        <v>9</v>
      </c>
      <c r="C23">
        <v>15</v>
      </c>
    </row>
    <row r="24" spans="1:3">
      <c r="A24" t="s">
        <v>17</v>
      </c>
      <c r="B24" t="s">
        <v>18</v>
      </c>
      <c r="C24">
        <v>7</v>
      </c>
    </row>
    <row r="25" spans="1:3">
      <c r="A25" t="s">
        <v>19</v>
      </c>
      <c r="B25" t="s">
        <v>20</v>
      </c>
      <c r="C25">
        <v>20</v>
      </c>
    </row>
    <row r="26" spans="1:3">
      <c r="A26" t="s">
        <v>19</v>
      </c>
      <c r="B26" t="s">
        <v>6</v>
      </c>
      <c r="C26">
        <v>1</v>
      </c>
    </row>
    <row r="27" spans="1:3">
      <c r="A27" t="s">
        <v>19</v>
      </c>
      <c r="B27" t="s">
        <v>10</v>
      </c>
      <c r="C27">
        <v>1</v>
      </c>
    </row>
    <row r="28" spans="1:3">
      <c r="A28" t="s">
        <v>19</v>
      </c>
      <c r="B28" t="s">
        <v>4</v>
      </c>
      <c r="C28">
        <v>3</v>
      </c>
    </row>
    <row r="29" spans="1:3">
      <c r="A29" t="s">
        <v>19</v>
      </c>
      <c r="B29" t="s">
        <v>5</v>
      </c>
      <c r="C29">
        <v>1</v>
      </c>
    </row>
    <row r="30" spans="1:3">
      <c r="A30" t="s">
        <v>19</v>
      </c>
      <c r="B30" t="s">
        <v>21</v>
      </c>
      <c r="C30">
        <v>8</v>
      </c>
    </row>
    <row r="31" spans="1:3">
      <c r="A31" t="s">
        <v>19</v>
      </c>
      <c r="B31" t="s">
        <v>22</v>
      </c>
      <c r="C31">
        <v>4</v>
      </c>
    </row>
    <row r="32" spans="1:3">
      <c r="A32" t="s">
        <v>19</v>
      </c>
      <c r="B32" t="s">
        <v>23</v>
      </c>
      <c r="C32">
        <v>46</v>
      </c>
    </row>
    <row r="33" spans="1:6">
      <c r="A33" t="s">
        <v>19</v>
      </c>
      <c r="B33" t="s">
        <v>24</v>
      </c>
      <c r="C33">
        <v>1</v>
      </c>
    </row>
    <row r="34" spans="1:6">
      <c r="A34" t="s">
        <v>25</v>
      </c>
      <c r="B34" t="s">
        <v>23</v>
      </c>
      <c r="C34">
        <v>1</v>
      </c>
    </row>
    <row r="35" spans="1:6">
      <c r="A35" t="s">
        <v>25</v>
      </c>
      <c r="B35" t="s">
        <v>9</v>
      </c>
      <c r="C35">
        <v>1</v>
      </c>
    </row>
    <row r="36" spans="1:6">
      <c r="A36" t="s">
        <v>25</v>
      </c>
      <c r="B36" t="s">
        <v>5</v>
      </c>
      <c r="C36">
        <v>1</v>
      </c>
    </row>
    <row r="37" spans="1:6">
      <c r="A37" t="s">
        <v>25</v>
      </c>
      <c r="B37" t="s">
        <v>6</v>
      </c>
      <c r="C37">
        <v>2</v>
      </c>
    </row>
    <row r="38" spans="1:6">
      <c r="A38" t="s">
        <v>26</v>
      </c>
      <c r="B38" t="s">
        <v>4</v>
      </c>
      <c r="C38">
        <v>1</v>
      </c>
    </row>
    <row r="39" spans="1:6">
      <c r="A39" t="s">
        <v>26</v>
      </c>
      <c r="B39" t="s">
        <v>15</v>
      </c>
      <c r="C39">
        <v>1</v>
      </c>
    </row>
    <row r="40" spans="1:6">
      <c r="A40" t="s">
        <v>26</v>
      </c>
      <c r="B40" t="s">
        <v>9</v>
      </c>
      <c r="C40">
        <v>11</v>
      </c>
    </row>
    <row r="41" spans="1:6">
      <c r="A41" t="s">
        <v>26</v>
      </c>
      <c r="B41" t="s">
        <v>5</v>
      </c>
      <c r="C41">
        <v>3</v>
      </c>
    </row>
    <row r="42" spans="1:6">
      <c r="A42" t="s">
        <v>27</v>
      </c>
      <c r="B42" t="s">
        <v>4</v>
      </c>
      <c r="C42">
        <v>93</v>
      </c>
    </row>
    <row r="43" spans="1:6">
      <c r="A43" t="s">
        <v>27</v>
      </c>
      <c r="B43" t="s">
        <v>12</v>
      </c>
      <c r="C43">
        <v>248</v>
      </c>
    </row>
    <row r="44" spans="1:6">
      <c r="A44" t="s">
        <v>27</v>
      </c>
      <c r="B44" t="s">
        <v>28</v>
      </c>
      <c r="C44">
        <v>379</v>
      </c>
      <c r="E44" t="s">
        <v>29</v>
      </c>
      <c r="F44">
        <f>SUM(Table1[Equipment Count])</f>
        <v>1582</v>
      </c>
    </row>
    <row r="45" spans="1:6">
      <c r="A45" t="s">
        <v>27</v>
      </c>
      <c r="B45" t="s">
        <v>5</v>
      </c>
      <c r="C45">
        <v>53</v>
      </c>
      <c r="E45" t="s">
        <v>30</v>
      </c>
      <c r="F45">
        <f>AVERAGE(C2:C50)</f>
        <v>32.285714285714285</v>
      </c>
    </row>
    <row r="46" spans="1:6">
      <c r="A46" t="s">
        <v>27</v>
      </c>
      <c r="B46" t="s">
        <v>9</v>
      </c>
      <c r="C46">
        <v>32</v>
      </c>
      <c r="E46" t="s">
        <v>31</v>
      </c>
      <c r="F46">
        <f>MIN(C2:C50)</f>
        <v>1</v>
      </c>
    </row>
    <row r="47" spans="1:6">
      <c r="A47" t="s">
        <v>27</v>
      </c>
      <c r="B47" t="s">
        <v>10</v>
      </c>
      <c r="C47">
        <v>98</v>
      </c>
      <c r="E47" t="s">
        <v>32</v>
      </c>
      <c r="F47">
        <f>MAX(C2:C50)</f>
        <v>379</v>
      </c>
    </row>
    <row r="48" spans="1:6">
      <c r="A48" t="s">
        <v>27</v>
      </c>
      <c r="B48" t="s">
        <v>18</v>
      </c>
      <c r="C48">
        <v>276</v>
      </c>
      <c r="E48" t="s">
        <v>33</v>
      </c>
      <c r="F48">
        <f>COUNT(C2:C50)</f>
        <v>49</v>
      </c>
    </row>
    <row r="49" spans="1:3">
      <c r="A49" t="s">
        <v>27</v>
      </c>
      <c r="B49" t="s">
        <v>15</v>
      </c>
      <c r="C49">
        <v>5</v>
      </c>
    </row>
    <row r="50" spans="1:3">
      <c r="A50" t="s">
        <v>27</v>
      </c>
      <c r="B50" t="s">
        <v>6</v>
      </c>
      <c r="C50">
        <v>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2D292-CAA5-4DF5-96E5-DF6D2FF14DB8}">
  <dimension ref="A3:AC17"/>
  <sheetViews>
    <sheetView workbookViewId="0">
      <selection activeCell="A4" sqref="A4"/>
    </sheetView>
  </sheetViews>
  <sheetFormatPr defaultRowHeight="15"/>
  <cols>
    <col min="1" max="1" width="29.28515625" bestFit="1" customWidth="1"/>
    <col min="2" max="2" width="20" bestFit="1" customWidth="1"/>
    <col min="3" max="3" width="3.28515625" bestFit="1" customWidth="1"/>
    <col min="4" max="5" width="2.28515625" bestFit="1" customWidth="1"/>
    <col min="6" max="6" width="3.28515625" bestFit="1" customWidth="1"/>
    <col min="7" max="10" width="2.28515625" bestFit="1" customWidth="1"/>
    <col min="11" max="25" width="3.28515625" bestFit="1" customWidth="1"/>
    <col min="26" max="28" width="4.42578125" bestFit="1" customWidth="1"/>
    <col min="29" max="29" width="11.7109375" bestFit="1" customWidth="1"/>
  </cols>
  <sheetData>
    <row r="3" spans="1:29">
      <c r="A3" s="1" t="s">
        <v>34</v>
      </c>
      <c r="B3" s="1" t="s">
        <v>2</v>
      </c>
    </row>
    <row r="4" spans="1:29">
      <c r="A4" s="1" t="s">
        <v>0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11</v>
      </c>
      <c r="L4">
        <v>15</v>
      </c>
      <c r="M4">
        <v>20</v>
      </c>
      <c r="N4">
        <v>21</v>
      </c>
      <c r="O4">
        <v>23</v>
      </c>
      <c r="P4">
        <v>24</v>
      </c>
      <c r="Q4">
        <v>27</v>
      </c>
      <c r="R4">
        <v>32</v>
      </c>
      <c r="S4">
        <v>37</v>
      </c>
      <c r="T4">
        <v>42</v>
      </c>
      <c r="U4">
        <v>46</v>
      </c>
      <c r="V4">
        <v>48</v>
      </c>
      <c r="W4">
        <v>53</v>
      </c>
      <c r="X4">
        <v>93</v>
      </c>
      <c r="Y4">
        <v>98</v>
      </c>
      <c r="Z4">
        <v>248</v>
      </c>
      <c r="AA4">
        <v>276</v>
      </c>
      <c r="AB4">
        <v>379</v>
      </c>
      <c r="AC4" t="s">
        <v>35</v>
      </c>
    </row>
    <row r="5" spans="1:29">
      <c r="A5" t="s">
        <v>3</v>
      </c>
      <c r="B5" s="2">
        <v>1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>
        <v>21</v>
      </c>
      <c r="O5" s="2">
        <v>23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>
        <v>45</v>
      </c>
    </row>
    <row r="6" spans="1:29">
      <c r="A6" t="s">
        <v>7</v>
      </c>
      <c r="B6" s="2"/>
      <c r="C6" s="2">
        <v>2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>
        <v>2</v>
      </c>
    </row>
    <row r="7" spans="1:29">
      <c r="A7" t="s">
        <v>8</v>
      </c>
      <c r="B7" s="2">
        <v>1</v>
      </c>
      <c r="C7" s="2">
        <v>2</v>
      </c>
      <c r="D7" s="2">
        <v>3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>
        <v>6</v>
      </c>
    </row>
    <row r="8" spans="1:29">
      <c r="A8" t="s">
        <v>11</v>
      </c>
      <c r="B8" s="2">
        <v>1</v>
      </c>
      <c r="C8" s="2">
        <v>2</v>
      </c>
      <c r="D8" s="2"/>
      <c r="E8" s="2"/>
      <c r="F8" s="2"/>
      <c r="G8" s="2"/>
      <c r="H8" s="2"/>
      <c r="I8" s="2"/>
      <c r="J8" s="2"/>
      <c r="K8" s="2">
        <v>11</v>
      </c>
      <c r="L8" s="2"/>
      <c r="M8" s="2"/>
      <c r="N8" s="2"/>
      <c r="O8" s="2"/>
      <c r="P8" s="2"/>
      <c r="Q8" s="2"/>
      <c r="R8" s="2"/>
      <c r="S8" s="2"/>
      <c r="T8" s="2">
        <v>42</v>
      </c>
      <c r="U8" s="2"/>
      <c r="V8" s="2"/>
      <c r="W8" s="2"/>
      <c r="X8" s="2"/>
      <c r="Y8" s="2"/>
      <c r="Z8" s="2"/>
      <c r="AA8" s="2"/>
      <c r="AB8" s="2"/>
      <c r="AC8" s="2">
        <v>56</v>
      </c>
    </row>
    <row r="9" spans="1:29">
      <c r="A9" t="s">
        <v>13</v>
      </c>
      <c r="B9" s="2">
        <v>1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>
        <v>1</v>
      </c>
    </row>
    <row r="10" spans="1:29">
      <c r="A10" t="s">
        <v>14</v>
      </c>
      <c r="B10" s="2">
        <v>1</v>
      </c>
      <c r="C10" s="2"/>
      <c r="D10" s="2"/>
      <c r="E10" s="2"/>
      <c r="F10" s="2"/>
      <c r="G10" s="2"/>
      <c r="H10" s="2"/>
      <c r="I10" s="2"/>
      <c r="J10" s="2">
        <v>9</v>
      </c>
      <c r="K10" s="2"/>
      <c r="L10" s="2"/>
      <c r="M10" s="2"/>
      <c r="N10" s="2"/>
      <c r="O10" s="2"/>
      <c r="P10" s="2">
        <v>24</v>
      </c>
      <c r="Q10" s="2">
        <v>27</v>
      </c>
      <c r="R10" s="2"/>
      <c r="S10" s="2"/>
      <c r="T10" s="2"/>
      <c r="U10" s="2"/>
      <c r="V10" s="2">
        <v>48</v>
      </c>
      <c r="W10" s="2"/>
      <c r="X10" s="2"/>
      <c r="Y10" s="2"/>
      <c r="Z10" s="2"/>
      <c r="AA10" s="2"/>
      <c r="AB10" s="2"/>
      <c r="AC10" s="2">
        <v>109</v>
      </c>
    </row>
    <row r="11" spans="1:29">
      <c r="A11" t="s">
        <v>16</v>
      </c>
      <c r="B11" s="2">
        <v>1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>
        <v>1</v>
      </c>
    </row>
    <row r="12" spans="1:29">
      <c r="A12" t="s">
        <v>17</v>
      </c>
      <c r="B12" s="2"/>
      <c r="C12" s="2">
        <v>2</v>
      </c>
      <c r="D12" s="2"/>
      <c r="E12" s="2"/>
      <c r="F12" s="2">
        <v>5</v>
      </c>
      <c r="G12" s="2">
        <v>6</v>
      </c>
      <c r="H12" s="2">
        <v>7</v>
      </c>
      <c r="I12" s="2"/>
      <c r="J12" s="2"/>
      <c r="K12" s="2"/>
      <c r="L12" s="2">
        <v>15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>
        <v>35</v>
      </c>
    </row>
    <row r="13" spans="1:29">
      <c r="A13" t="s">
        <v>19</v>
      </c>
      <c r="B13" s="2">
        <v>4</v>
      </c>
      <c r="C13" s="2"/>
      <c r="D13" s="2">
        <v>3</v>
      </c>
      <c r="E13" s="2">
        <v>4</v>
      </c>
      <c r="F13" s="2"/>
      <c r="G13" s="2"/>
      <c r="H13" s="2"/>
      <c r="I13" s="2">
        <v>8</v>
      </c>
      <c r="J13" s="2"/>
      <c r="K13" s="2"/>
      <c r="L13" s="2"/>
      <c r="M13" s="2">
        <v>20</v>
      </c>
      <c r="N13" s="2"/>
      <c r="O13" s="2"/>
      <c r="P13" s="2"/>
      <c r="Q13" s="2"/>
      <c r="R13" s="2"/>
      <c r="S13" s="2"/>
      <c r="T13" s="2"/>
      <c r="U13" s="2">
        <v>46</v>
      </c>
      <c r="V13" s="2"/>
      <c r="W13" s="2"/>
      <c r="X13" s="2"/>
      <c r="Y13" s="2"/>
      <c r="Z13" s="2"/>
      <c r="AA13" s="2"/>
      <c r="AB13" s="2"/>
      <c r="AC13" s="2">
        <v>85</v>
      </c>
    </row>
    <row r="14" spans="1:29">
      <c r="A14" t="s">
        <v>25</v>
      </c>
      <c r="B14" s="2">
        <v>3</v>
      </c>
      <c r="C14" s="2">
        <v>2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>
        <v>5</v>
      </c>
    </row>
    <row r="15" spans="1:29">
      <c r="A15" t="s">
        <v>26</v>
      </c>
      <c r="B15" s="2">
        <v>2</v>
      </c>
      <c r="C15" s="2"/>
      <c r="D15" s="2">
        <v>3</v>
      </c>
      <c r="E15" s="2"/>
      <c r="F15" s="2"/>
      <c r="G15" s="2"/>
      <c r="H15" s="2"/>
      <c r="I15" s="2"/>
      <c r="J15" s="2"/>
      <c r="K15" s="2">
        <v>11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>
        <v>16</v>
      </c>
    </row>
    <row r="16" spans="1:29">
      <c r="A16" t="s">
        <v>27</v>
      </c>
      <c r="B16" s="2"/>
      <c r="C16" s="2"/>
      <c r="D16" s="2"/>
      <c r="E16" s="2"/>
      <c r="F16" s="2">
        <v>5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>
        <v>32</v>
      </c>
      <c r="S16" s="2">
        <v>37</v>
      </c>
      <c r="T16" s="2"/>
      <c r="U16" s="2"/>
      <c r="V16" s="2"/>
      <c r="W16" s="2">
        <v>53</v>
      </c>
      <c r="X16" s="2">
        <v>93</v>
      </c>
      <c r="Y16" s="2">
        <v>98</v>
      </c>
      <c r="Z16" s="2">
        <v>248</v>
      </c>
      <c r="AA16" s="2">
        <v>276</v>
      </c>
      <c r="AB16" s="2">
        <v>379</v>
      </c>
      <c r="AC16" s="2">
        <v>1221</v>
      </c>
    </row>
    <row r="17" spans="1:29">
      <c r="A17" t="s">
        <v>35</v>
      </c>
      <c r="B17" s="2">
        <v>15</v>
      </c>
      <c r="C17" s="2">
        <v>10</v>
      </c>
      <c r="D17" s="2">
        <v>9</v>
      </c>
      <c r="E17" s="2">
        <v>4</v>
      </c>
      <c r="F17" s="2">
        <v>10</v>
      </c>
      <c r="G17" s="2">
        <v>6</v>
      </c>
      <c r="H17" s="2">
        <v>7</v>
      </c>
      <c r="I17" s="2">
        <v>8</v>
      </c>
      <c r="J17" s="2">
        <v>9</v>
      </c>
      <c r="K17" s="2">
        <v>22</v>
      </c>
      <c r="L17" s="2">
        <v>15</v>
      </c>
      <c r="M17" s="2">
        <v>20</v>
      </c>
      <c r="N17" s="2">
        <v>21</v>
      </c>
      <c r="O17" s="2">
        <v>23</v>
      </c>
      <c r="P17" s="2">
        <v>24</v>
      </c>
      <c r="Q17" s="2">
        <v>27</v>
      </c>
      <c r="R17" s="2">
        <v>32</v>
      </c>
      <c r="S17" s="2">
        <v>37</v>
      </c>
      <c r="T17" s="2">
        <v>42</v>
      </c>
      <c r="U17" s="2">
        <v>46</v>
      </c>
      <c r="V17" s="2">
        <v>48</v>
      </c>
      <c r="W17" s="2">
        <v>53</v>
      </c>
      <c r="X17" s="2">
        <v>93</v>
      </c>
      <c r="Y17" s="2">
        <v>98</v>
      </c>
      <c r="Z17" s="2">
        <v>248</v>
      </c>
      <c r="AA17" s="2">
        <v>276</v>
      </c>
      <c r="AB17" s="2">
        <v>379</v>
      </c>
      <c r="AC17" s="2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7EADE-9FE8-4067-BABC-AA692A60D39F}">
  <dimension ref="A3:B25"/>
  <sheetViews>
    <sheetView workbookViewId="0">
      <selection activeCell="A15" sqref="A15"/>
    </sheetView>
  </sheetViews>
  <sheetFormatPr defaultRowHeight="15"/>
  <cols>
    <col min="1" max="1" width="29.28515625" bestFit="1" customWidth="1"/>
    <col min="2" max="2" width="26.28515625" bestFit="1" customWidth="1"/>
    <col min="3" max="3" width="24.28515625" bestFit="1" customWidth="1"/>
    <col min="4" max="4" width="13.5703125" bestFit="1" customWidth="1"/>
    <col min="5" max="5" width="26.85546875" bestFit="1" customWidth="1"/>
    <col min="6" max="6" width="14.140625" bestFit="1" customWidth="1"/>
    <col min="7" max="7" width="17" bestFit="1" customWidth="1"/>
    <col min="8" max="8" width="26.5703125" bestFit="1" customWidth="1"/>
    <col min="9" max="9" width="18.85546875" bestFit="1" customWidth="1"/>
    <col min="10" max="10" width="16.85546875" bestFit="1" customWidth="1"/>
    <col min="11" max="11" width="16.7109375" bestFit="1" customWidth="1"/>
    <col min="12" max="12" width="6.5703125" bestFit="1" customWidth="1"/>
    <col min="13" max="13" width="4.85546875" bestFit="1" customWidth="1"/>
    <col min="14" max="14" width="11" bestFit="1" customWidth="1"/>
    <col min="15" max="15" width="4.5703125" bestFit="1" customWidth="1"/>
    <col min="16" max="16" width="11.7109375" bestFit="1" customWidth="1"/>
    <col min="17" max="17" width="2.28515625" bestFit="1" customWidth="1"/>
    <col min="18" max="20" width="3.28515625" bestFit="1" customWidth="1"/>
    <col min="21" max="21" width="19.28515625" bestFit="1" customWidth="1"/>
    <col min="22" max="22" width="19" bestFit="1" customWidth="1"/>
    <col min="23" max="23" width="22.28515625" bestFit="1" customWidth="1"/>
    <col min="24" max="24" width="28.42578125" bestFit="1" customWidth="1"/>
    <col min="25" max="25" width="31.7109375" bestFit="1" customWidth="1"/>
    <col min="26" max="26" width="20.7109375" bestFit="1" customWidth="1"/>
    <col min="27" max="27" width="3.28515625" bestFit="1" customWidth="1"/>
    <col min="28" max="28" width="24" bestFit="1" customWidth="1"/>
    <col min="29" max="29" width="18.85546875" bestFit="1" customWidth="1"/>
    <col min="30" max="30" width="22.28515625" bestFit="1" customWidth="1"/>
    <col min="31" max="31" width="18.7109375" bestFit="1" customWidth="1"/>
    <col min="32" max="32" width="22" bestFit="1" customWidth="1"/>
    <col min="33" max="33" width="8.42578125" bestFit="1" customWidth="1"/>
    <col min="34" max="35" width="2.28515625" bestFit="1" customWidth="1"/>
    <col min="36" max="39" width="3.28515625" bestFit="1" customWidth="1"/>
    <col min="40" max="40" width="11.5703125" bestFit="1" customWidth="1"/>
    <col min="41" max="41" width="6.7109375" bestFit="1" customWidth="1"/>
    <col min="42" max="43" width="2.28515625" bestFit="1" customWidth="1"/>
    <col min="44" max="45" width="3.28515625" bestFit="1" customWidth="1"/>
    <col min="46" max="46" width="9.85546875" bestFit="1" customWidth="1"/>
    <col min="47" max="47" width="12.85546875" bestFit="1" customWidth="1"/>
    <col min="48" max="48" width="16.140625" bestFit="1" customWidth="1"/>
    <col min="49" max="49" width="6.42578125" bestFit="1" customWidth="1"/>
    <col min="50" max="50" width="2.28515625" bestFit="1" customWidth="1"/>
    <col min="51" max="53" width="3.28515625" bestFit="1" customWidth="1"/>
    <col min="54" max="54" width="9.5703125" bestFit="1" customWidth="1"/>
    <col min="55" max="55" width="11.7109375" bestFit="1" customWidth="1"/>
  </cols>
  <sheetData>
    <row r="3" spans="1:2">
      <c r="A3" s="1" t="s">
        <v>0</v>
      </c>
      <c r="B3" s="1" t="s">
        <v>1</v>
      </c>
    </row>
    <row r="4" spans="1:2">
      <c r="A4" t="s">
        <v>3</v>
      </c>
    </row>
    <row r="5" spans="1:2">
      <c r="A5" t="s">
        <v>7</v>
      </c>
    </row>
    <row r="6" spans="1:2">
      <c r="A6" t="s">
        <v>8</v>
      </c>
    </row>
    <row r="7" spans="1:2">
      <c r="A7" t="s">
        <v>11</v>
      </c>
    </row>
    <row r="8" spans="1:2">
      <c r="A8" t="s">
        <v>13</v>
      </c>
    </row>
    <row r="9" spans="1:2">
      <c r="A9" t="s">
        <v>14</v>
      </c>
    </row>
    <row r="10" spans="1:2">
      <c r="A10" t="s">
        <v>16</v>
      </c>
    </row>
    <row r="11" spans="1:2">
      <c r="A11" t="s">
        <v>17</v>
      </c>
    </row>
    <row r="12" spans="1:2">
      <c r="A12" t="s">
        <v>19</v>
      </c>
    </row>
    <row r="13" spans="1:2">
      <c r="A13" t="s">
        <v>25</v>
      </c>
    </row>
    <row r="14" spans="1:2">
      <c r="A14" t="s">
        <v>26</v>
      </c>
    </row>
    <row r="15" spans="1:2">
      <c r="A15" t="s">
        <v>27</v>
      </c>
      <c r="B15" t="s">
        <v>15</v>
      </c>
    </row>
    <row r="16" spans="1:2">
      <c r="B16" t="s">
        <v>12</v>
      </c>
    </row>
    <row r="17" spans="1:2">
      <c r="B17" t="s">
        <v>10</v>
      </c>
    </row>
    <row r="18" spans="1:2">
      <c r="B18" t="s">
        <v>18</v>
      </c>
    </row>
    <row r="19" spans="1:2">
      <c r="B19" t="s">
        <v>4</v>
      </c>
    </row>
    <row r="20" spans="1:2">
      <c r="B20" t="s">
        <v>6</v>
      </c>
    </row>
    <row r="21" spans="1:2">
      <c r="B21" t="s">
        <v>5</v>
      </c>
    </row>
    <row r="22" spans="1:2">
      <c r="B22" t="s">
        <v>28</v>
      </c>
    </row>
    <row r="23" spans="1:2">
      <c r="B23" t="s">
        <v>9</v>
      </c>
    </row>
    <row r="24" spans="1:2">
      <c r="A24" t="s">
        <v>36</v>
      </c>
    </row>
    <row r="25" spans="1:2">
      <c r="A25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CE3DC-5CBC-44CB-91F0-7CA08F66AA55}">
  <dimension ref="A3:B21"/>
  <sheetViews>
    <sheetView workbookViewId="0">
      <selection activeCell="A20" sqref="A20"/>
    </sheetView>
  </sheetViews>
  <sheetFormatPr defaultRowHeight="15"/>
  <cols>
    <col min="1" max="1" width="29.28515625" bestFit="1" customWidth="1"/>
    <col min="2" max="2" width="19" bestFit="1" customWidth="1"/>
  </cols>
  <sheetData>
    <row r="3" spans="1:2">
      <c r="A3" s="1" t="s">
        <v>1</v>
      </c>
      <c r="B3" s="1" t="s">
        <v>0</v>
      </c>
    </row>
    <row r="4" spans="1:2">
      <c r="A4" t="s">
        <v>15</v>
      </c>
      <c r="B4" t="s">
        <v>14</v>
      </c>
    </row>
    <row r="5" spans="1:2">
      <c r="B5" t="s">
        <v>26</v>
      </c>
    </row>
    <row r="6" spans="1:2">
      <c r="B6" t="s">
        <v>27</v>
      </c>
    </row>
    <row r="7" spans="1:2">
      <c r="A7" t="s">
        <v>37</v>
      </c>
    </row>
    <row r="8" spans="1:2">
      <c r="A8" t="s">
        <v>12</v>
      </c>
    </row>
    <row r="9" spans="1:2">
      <c r="A9" t="s">
        <v>10</v>
      </c>
    </row>
    <row r="10" spans="1:2">
      <c r="A10" t="s">
        <v>18</v>
      </c>
    </row>
    <row r="11" spans="1:2">
      <c r="A11" t="s">
        <v>4</v>
      </c>
    </row>
    <row r="12" spans="1:2">
      <c r="A12" t="s">
        <v>22</v>
      </c>
    </row>
    <row r="13" spans="1:2">
      <c r="A13" t="s">
        <v>24</v>
      </c>
    </row>
    <row r="14" spans="1:2">
      <c r="A14" t="s">
        <v>23</v>
      </c>
    </row>
    <row r="15" spans="1:2">
      <c r="A15" t="s">
        <v>20</v>
      </c>
    </row>
    <row r="16" spans="1:2">
      <c r="A16" t="s">
        <v>21</v>
      </c>
    </row>
    <row r="17" spans="1:1">
      <c r="A17" t="s">
        <v>6</v>
      </c>
    </row>
    <row r="18" spans="1:1">
      <c r="A18" t="s">
        <v>5</v>
      </c>
    </row>
    <row r="19" spans="1:1">
      <c r="A19" t="s">
        <v>28</v>
      </c>
    </row>
    <row r="20" spans="1:1">
      <c r="A20" t="s">
        <v>9</v>
      </c>
    </row>
    <row r="21" spans="1:1">
      <c r="A2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2020-09-01T17:18:12Z</dcterms:created>
  <dcterms:modified xsi:type="dcterms:W3CDTF">2026-10-21T23:11:39Z</dcterms:modified>
  <cp:category/>
  <cp:contentStatus/>
</cp:coreProperties>
</file>